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Income" sheetId="2" state="visible" r:id="rId4"/>
    <sheet name="Expenses" sheetId="3" state="visible" r:id="rId5"/>
    <sheet name="MAGI" sheetId="4" state="visible" r:id="rId6"/>
    <sheet name="Property" sheetId="5" state="visible" r:id="rId7"/>
    <sheet name="Recommendat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<sst xmlns="http://schemas.openxmlformats.org/spreadsheetml/2006/main" count="183" uniqueCount="175">
  <si>
    <t xml:space="preserve">TAX &amp; INSURANCE OPTIMIZER - LIFE OS</t>
  </si>
  <si>
    <t xml:space="preserve">Florida ACA Silver CSR 94% Qualification Tracker</t>
  </si>
  <si>
    <t xml:space="preserve">KEY METRICS</t>
  </si>
  <si>
    <t xml:space="preserve">Tax Year:</t>
  </si>
  <si>
    <t xml:space="preserve">Filing Status:</t>
  </si>
  <si>
    <t xml:space="preserve">Single</t>
  </si>
  <si>
    <t xml:space="preserve">Target Program:</t>
  </si>
  <si>
    <t xml:space="preserve">ACA Silver CSR 94%</t>
  </si>
  <si>
    <t xml:space="preserve">Target MAGI Range:</t>
  </si>
  <si>
    <t xml:space="preserve">$15,650 - $20,121</t>
  </si>
  <si>
    <t xml:space="preserve">CURRENT STATUS</t>
  </si>
  <si>
    <t xml:space="preserve">Gross Rental Income:</t>
  </si>
  <si>
    <t xml:space="preserve">Total Expenses:</t>
  </si>
  <si>
    <t xml:space="preserve">Net Rental Income:</t>
  </si>
  <si>
    <t xml:space="preserve">Other Income:</t>
  </si>
  <si>
    <t xml:space="preserve">Current MAGI:</t>
  </si>
  <si>
    <t xml:space="preserve">STATUS:</t>
  </si>
  <si>
    <t xml:space="preserve">FLORIDA 2026 ACA THRESHOLDS</t>
  </si>
  <si>
    <t xml:space="preserve">Program</t>
  </si>
  <si>
    <t xml:space="preserve">Min MAGI</t>
  </si>
  <si>
    <t xml:space="preserve">Max MAGI</t>
  </si>
  <si>
    <t xml:space="preserve">FPL %</t>
  </si>
  <si>
    <t xml:space="preserve">Coverage Gap (NO HELP)</t>
  </si>
  <si>
    <t xml:space="preserve">$0</t>
  </si>
  <si>
    <t xml:space="preserve">$15,649</t>
  </si>
  <si>
    <t xml:space="preserve">&lt;100%</t>
  </si>
  <si>
    <t xml:space="preserve">$15,650</t>
  </si>
  <si>
    <t xml:space="preserve">$23,475</t>
  </si>
  <si>
    <t xml:space="preserve">100-150%</t>
  </si>
  <si>
    <t xml:space="preserve">ACA Silver CSR 87%</t>
  </si>
  <si>
    <t xml:space="preserve">$23,476</t>
  </si>
  <si>
    <t xml:space="preserve">$31,300</t>
  </si>
  <si>
    <t xml:space="preserve">150-200%</t>
  </si>
  <si>
    <t xml:space="preserve">ACA Silver CSR 73%</t>
  </si>
  <si>
    <t xml:space="preserve">$31,301</t>
  </si>
  <si>
    <t xml:space="preserve">$39,125</t>
  </si>
  <si>
    <t xml:space="preserve">200-250%</t>
  </si>
  <si>
    <t xml:space="preserve">ACA Subsidy Only</t>
  </si>
  <si>
    <t xml:space="preserve">$39,126</t>
  </si>
  <si>
    <t xml:space="preserve">$62,600</t>
  </si>
  <si>
    <t xml:space="preserve">250-400%</t>
  </si>
  <si>
    <t xml:space="preserve">⚠️ ENROLLMENT DEADLINE:</t>
  </si>
  <si>
    <t xml:space="preserve">December 15, 2025</t>
  </si>
  <si>
    <t xml:space="preserve">Enroll at:</t>
  </si>
  <si>
    <t xml:space="preserve">healthcare.gov</t>
  </si>
  <si>
    <t xml:space="preserve">RENTAL INCOME TRACKING</t>
  </si>
  <si>
    <t xml:space="preserve">Property Address:</t>
  </si>
  <si>
    <t xml:space="preserve">Enter Address Here</t>
  </si>
  <si>
    <t xml:space="preserve">Month</t>
  </si>
  <si>
    <t xml:space="preserve">Gross Rent</t>
  </si>
  <si>
    <t xml:space="preserve">Vacancy Days</t>
  </si>
  <si>
    <t xml:space="preserve">Vacancy Loss</t>
  </si>
  <si>
    <t xml:space="preserve">Other Income</t>
  </si>
  <si>
    <t xml:space="preserve">Net Collected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</si>
  <si>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</si>
  <si>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</si>
  <si>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</si>
  <si>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</si>
  <si>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</si>
  <si>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</si>
  <si>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</si>
  <si>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</si>
  <si>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</si>
  <si>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</si>
  <si>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</si>
  <si>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</si>
  <si>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TOTAL</t>
  </si>
  <si>
    <t xml:space="preserve">SCHEDULE E EXPENSES</t>
  </si>
  <si>
    <t xml:space="preserve">Line</t>
  </si>
  <si>
    <t xml:space="preserve">Category</t>
  </si>
  <si>
    <t xml:space="preserve">Jan</t>
  </si>
  <si>
    <t xml:space="preserve">Feb</t>
  </si>
  <si>
    <t xml:space="preserve">Mar</t>
  </si>
  <si>
    <t xml:space="preserve">Apr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</si>
  <si>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</si>
  <si>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</si>
  <si>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</si>
  <si>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</si>
  <si>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</si>
  <si>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</si>
  <si>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</si>
  <si>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5</t>
  </si>
  <si>
    <t xml:space="preserve">Advertising</t>
  </si>
  <si>
    <t xml:space="preserve">6</t>
  </si>
  <si>
    <t xml:space="preserve">Auto &amp; Travel</t>
  </si>
  <si>
    <t xml:space="preserve">7</t>
  </si>
  <si>
    <t xml:space="preserve">Cleaning &amp; Maintenance</t>
  </si>
  <si>
    <t xml:space="preserve">8</t>
  </si>
  <si>
    <t xml:space="preserve">Commissions</t>
  </si>
  <si>
    <t xml:space="preserve">9</t>
  </si>
  <si>
    <t xml:space="preserve">Insurance</t>
  </si>
  <si>
    <t xml:space="preserve">10</t>
  </si>
  <si>
    <t xml:space="preserve">Legal &amp; Professional</t>
  </si>
  <si>
    <t xml:space="preserve">11</t>
  </si>
  <si>
    <t xml:space="preserve">Management Fees</t>
  </si>
  <si>
    <t xml:space="preserve">12</t>
  </si>
  <si>
    <t xml:space="preserve">Mortgage Interest</t>
  </si>
  <si>
    <t xml:space="preserve">13</t>
  </si>
  <si>
    <t xml:space="preserve">Other Interest</t>
  </si>
  <si>
    <t xml:space="preserve">14</t>
  </si>
  <si>
    <t xml:space="preserve">Repairs</t>
  </si>
  <si>
    <t xml:space="preserve">15</t>
  </si>
  <si>
    <t xml:space="preserve">Supplies</t>
  </si>
  <si>
    <t xml:space="preserve">16</t>
  </si>
  <si>
    <t xml:space="preserve">Property Taxes</t>
  </si>
  <si>
    <t xml:space="preserve">17</t>
  </si>
  <si>
    <t xml:space="preserve">Utilities</t>
  </si>
  <si>
    <t xml:space="preserve">18</t>
  </si>
  <si>
    <t xml:space="preserve">Depreciation</t>
  </si>
  <si>
    <t xml:space="preserve">19</t>
  </si>
  <si>
    <t xml:space="preserve">Other</t>
  </si>
  <si>
    <t xml:space="preserve">TOTAL EXPENSES</t>
  </si>
  <si>
    <t xml:space="preserve">MAGI CALCULATOR</t>
  </si>
  <si>
    <t xml:space="preserve">Modified Adjusted Gross Income (MAGI) for ACA</t>
  </si>
  <si>
    <t xml:space="preserve">INCOME</t>
  </si>
  <si>
    <t xml:space="preserve">Gross Rental Income</t>
  </si>
  <si>
    <t xml:space="preserve">Other Income (W-2, 1099, etc.)</t>
  </si>
  <si>
    <t xml:space="preserve">Total Expenses (Schedule E)</t>
  </si>
  <si>
    <t xml:space="preserve">Net Rental Income</t>
  </si>
  <si>
    <t xml:space="preserve">CALCULATED MAGI</t>
  </si>
  <si>
    <t xml:space="preserve">TARGET COMPARISON</t>
  </si>
  <si>
    <t xml:space="preserve">Minimum for ACA (100% FPL)</t>
  </si>
  <si>
    <t xml:space="preserve">Optimal Maximum (CSR 94%)</t>
  </si>
  <si>
    <t xml:space="preserve">Distance from Minimum</t>
  </si>
  <si>
    <t xml:space="preserve">Headroom to Optimal Max</t>
  </si>
  <si>
    <t xml:space="preserve">QUALIFICATION STATUS</t>
  </si>
  <si>
    <t xml:space="preserve">Status:</t>
  </si>
  <si>
    <t xml:space="preserve">Adjustment Needed:</t>
  </si>
  <si>
    <t xml:space="preserve">PROPERTY INFORMATION</t>
  </si>
  <si>
    <t xml:space="preserve">Property Details (affects depreciation calculation)</t>
  </si>
  <si>
    <t xml:space="preserve">Address</t>
  </si>
  <si>
    <t xml:space="preserve">City</t>
  </si>
  <si>
    <t xml:space="preserve">Melbourne</t>
  </si>
  <si>
    <t xml:space="preserve">State</t>
  </si>
  <si>
    <t xml:space="preserve">FL</t>
  </si>
  <si>
    <t xml:space="preserve">ZIP</t>
  </si>
  <si>
    <t xml:space="preserve">Property Type</t>
  </si>
  <si>
    <t xml:space="preserve">Single Family</t>
  </si>
  <si>
    <t xml:space="preserve">Purchase Date</t>
  </si>
  <si>
    <t xml:space="preserve">Purchase Price</t>
  </si>
  <si>
    <t xml:space="preserve">Land Value (typically 20%)</t>
  </si>
  <si>
    <t xml:space="preserve">Building Value</t>
  </si>
  <si>
    <t xml:space="preserve">Depreciation Years</t>
  </si>
  <si>
    <t xml:space="preserve">Annual Depreciation</t>
  </si>
  <si>
    <t xml:space="preserve">Note: Enter Annual Depreciation in Expenses sheet, Line 18</t>
  </si>
  <si>
    <t xml:space="preserve">TAX OPTIMIZATION RECOMMENDATIONS</t>
  </si>
  <si>
    <t xml:space="preserve">AUTOMATIC RECOMMENDATIONS</t>
  </si>
  <si>
    <t xml:space="preserve">If MAGI &lt; $15,650:</t>
  </si>
  <si>
    <t xml:space="preserve">REDUCE DEDUCTIONS - You're in coverage gap!</t>
  </si>
  <si>
    <t xml:space="preserve">Defer repairs, don't prepay taxes</t>
  </si>
  <si>
    <t xml:space="preserve">If MAGI $15,650-$20,121:</t>
  </si>
  <si>
    <t xml:space="preserve">PERFECT - Maintain current expenses</t>
  </si>
  <si>
    <t xml:space="preserve">Enroll in FL Blue BlueOptions Silver PPO</t>
  </si>
  <si>
    <t xml:space="preserve">If MAGI $20,121-$23,475:</t>
  </si>
  <si>
    <t xml:space="preserve">STILL GOOD - Monitor closely</t>
  </si>
  <si>
    <t xml:space="preserve">You still qualify for CSR 94%</t>
  </si>
  <si>
    <t xml:space="preserve">If MAGI &gt; $23,475:</t>
  </si>
  <si>
    <t xml:space="preserve">INCREASE DEDUCTIONS - Losing CSR benefits</t>
  </si>
  <si>
    <t xml:space="preserve">Prepay property taxes, accelerate repairs</t>
  </si>
  <si>
    <t xml:space="preserve">KEY DATES</t>
  </si>
  <si>
    <t xml:space="preserve">ACA Open Enrollment Ends:</t>
  </si>
  <si>
    <t xml:space="preserve">Final Enrollment (Feb coverage):</t>
  </si>
  <si>
    <t xml:space="preserve">January 15, 2026</t>
  </si>
  <si>
    <t xml:space="preserve">Tax Filing Deadline:</t>
  </si>
  <si>
    <t xml:space="preserve">April 15, 2026</t>
  </si>
  <si>
    <t xml:space="preserve">RECOMMENDED PLAN</t>
  </si>
  <si>
    <t xml:space="preserve">Carrier:</t>
  </si>
  <si>
    <t xml:space="preserve">Florida Blue</t>
  </si>
  <si>
    <t xml:space="preserve">Plan:</t>
  </si>
  <si>
    <t xml:space="preserve">BlueOptions Silver PPO</t>
  </si>
  <si>
    <t xml:space="preserve">Network:</t>
  </si>
  <si>
    <t xml:space="preserve">Mayo Clinic Jacksonville ✓</t>
  </si>
  <si>
    <t xml:space="preserve">Estimated Premium:</t>
  </si>
  <si>
    <t xml:space="preserve">$0-50/month</t>
  </si>
  <si>
    <t xml:space="preserve">Deductible: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</si>
</sst>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"/>
    <numFmt numFmtId="166" formatCode="General"/>
    <numFmt numFmtId="167" formatCode="\$#,##0;&quot;($&quot;#,##0\);\-"/>
    <numFmt numFmtId="168" formatCode="\$#,##0;&quot;($&quot;#,##0\)"/>
    <numFmt numFmtId="169" formatCode="\$#,##0"/>
    <numFmt numFmtId="170" formatCode="0.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9"/>
      <name val="Cambria"/>
      <family val="0"/>
      <charset val="1"/>
    </font>
    <font>
      <i val="true"/>
      <sz val="12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1"/>
      <color rgb="FF0000FF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color rgb="FF008000"/>
      <name val="Cambria"/>
      <family val="0"/>
      <charset val="1"/>
    </font>
    <font>
      <sz val="11"/>
      <color rgb="FF008000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0000"/>
      <name val="Cambria"/>
      <family val="0"/>
      <charset val="1"/>
    </font>
    <font>
      <u val="single"/>
      <sz val="11"/>
      <color rgb="FF0000FF"/>
      <name val="Cambria"/>
      <family val="0"/>
      <charset val="1"/>
    </font>
    <font>
      <b val="true"/>
      <sz val="16"/>
      <color rgb="FF1F4E79"/>
      <name val="Cambria"/>
      <family val="0"/>
      <charset val="1"/>
    </font>
    <font>
      <i val="true"/>
      <sz val="11"/>
      <name val="Cambria"/>
      <family val="0"/>
      <charset val="1"/>
    </font>
    <font>
      <i val="true"/>
      <sz val="11"/>
      <color rgb="FF666666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EEAF6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1F4E79"/>
        <bgColor rgb="FF003366"/>
      </patternFill>
    </fill>
    <fill>
      <patternFill patternType="solid">
        <fgColor rgb="FFFFC7CE"/>
        <bgColor rgb="FFCCCCFF"/>
      </patternFill>
    </fill>
    <fill>
      <patternFill patternType="solid">
        <fgColor rgb="FFC6EFCE"/>
        <bgColor rgb="FFDEEAF6"/>
      </patternFill>
    </fill>
    <fill>
      <patternFill patternType="solid">
        <fgColor rgb="FFF2F2F2"/>
        <bgColor rgb="FFDEEA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5"/>
    <col collapsed="false" customWidth="true" hidden="false" outlineLevel="0" max="3" min="3" style="1" width="25"/>
    <col collapsed="false" customWidth="true" hidden="false" outlineLevel="0" max="6" min="4" style="1" width="15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17.25" hidden="false" customHeight="true" outlineLevel="0" collapsed="false">
      <c r="A4" s="4" t="s">
        <v>2</v>
      </c>
    </row>
    <row r="6" customFormat="false" ht="15" hidden="false" customHeight="true" outlineLevel="0" collapsed="false">
      <c r="A6" s="1" t="s">
        <v>3</v>
      </c>
      <c r="C6" s="5" t="n">
        <v>2025</v>
      </c>
    </row>
    <row r="7" customFormat="false" ht="15" hidden="false" customHeight="true" outlineLevel="0" collapsed="false">
      <c r="A7" s="1" t="s">
        <v>4</v>
      </c>
      <c r="C7" s="6" t="s">
        <v>5</v>
      </c>
    </row>
    <row r="8" customFormat="false" ht="15" hidden="false" customHeight="true" outlineLevel="0" collapsed="false">
      <c r="A8" s="1" t="s">
        <v>6</v>
      </c>
      <c r="C8" s="7" t="s">
        <v>7</v>
      </c>
    </row>
    <row r="9" customFormat="false" ht="15" hidden="false" customHeight="true" outlineLevel="0" collapsed="false">
      <c r="A9" s="1" t="s">
        <v>8</v>
      </c>
      <c r="C9" s="8" t="s">
        <v>9</v>
      </c>
    </row>
    <row r="11" customFormat="false" ht="17.25" hidden="false" customHeight="true" outlineLevel="0" collapsed="false">
      <c r="A11" s="4" t="s">
        <v>10</v>
      </c>
    </row>
    <row r="13" customFormat="false" ht="15" hidden="false" customHeight="true" outlineLevel="0" collapsed="false">
      <c r="A13" s="1" t="s">
        <v>11</v>
      </c>
      <c r="C13" s="9" t="n">
        <f aca="false">MAGI!C7</f>
        <v>0</v>
      </c>
    </row>
    <row r="14" customFormat="false" ht="15" hidden="false" customHeight="true" outlineLevel="0" collapsed="false">
      <c r="A14" s="1" t="s">
        <v>12</v>
      </c>
      <c r="C14" s="9" t="n">
        <f aca="false">MAGI!C11</f>
        <v>0</v>
      </c>
    </row>
    <row r="15" customFormat="false" ht="15" hidden="false" customHeight="true" outlineLevel="0" collapsed="false">
      <c r="A15" s="1" t="s">
        <v>13</v>
      </c>
      <c r="C15" s="9" t="n">
        <f aca="false">MAGI!C13</f>
        <v>0</v>
      </c>
    </row>
    <row r="16" customFormat="false" ht="15" hidden="false" customHeight="true" outlineLevel="0" collapsed="false">
      <c r="A16" s="1" t="s">
        <v>14</v>
      </c>
      <c r="C16" s="9" t="n">
        <f aca="false">MAGI!C9</f>
        <v>0</v>
      </c>
    </row>
    <row r="17" customFormat="false" ht="17.25" hidden="false" customHeight="true" outlineLevel="0" collapsed="false">
      <c r="A17" s="1" t="s">
        <v>15</v>
      </c>
      <c r="C17" s="10" t="n">
        <f aca="false">MAGI!C15</f>
        <v>0</v>
      </c>
    </row>
    <row r="19" customFormat="false" ht="15" hidden="false" customHeight="true" outlineLevel="0" collapsed="false">
      <c r="A19" s="11" t="s">
        <v>16</v>
      </c>
      <c r="C19" s="11" t="str">
        <f aca="false">IF(MAGI!C15&lt;15650,"❌ COVERAGE GAP - TOO LOW",IF(MAGI!C15&lt;=20121,"✅ OPTIMAL RANGE",IF(MAGI!C15&lt;=23475,"⚠️ STILL CSR 94%","❌ ABOVE TARGET")))</f>
        <v>❌ COVERAGE GAP - TOO LOW</v>
      </c>
    </row>
    <row r="21" customFormat="false" ht="17.25" hidden="false" customHeight="true" outlineLevel="0" collapsed="false">
      <c r="A21" s="4" t="s">
        <v>17</v>
      </c>
    </row>
    <row r="23" customFormat="false" ht="15" hidden="false" customHeight="true" outlineLevel="0" collapsed="false">
      <c r="A23" s="12" t="s">
        <v>18</v>
      </c>
      <c r="B23" s="12" t="s">
        <v>19</v>
      </c>
      <c r="C23" s="12" t="s">
        <v>20</v>
      </c>
      <c r="D23" s="12" t="s">
        <v>21</v>
      </c>
    </row>
    <row r="24" customFormat="false" ht="15" hidden="false" customHeight="true" outlineLevel="0" collapsed="false">
      <c r="A24" s="13" t="s">
        <v>22</v>
      </c>
      <c r="B24" s="13" t="s">
        <v>23</v>
      </c>
      <c r="C24" s="13" t="s">
        <v>24</v>
      </c>
      <c r="D24" s="13" t="s">
        <v>25</v>
      </c>
    </row>
    <row r="25" customFormat="false" ht="15" hidden="false" customHeight="true" outlineLevel="0" collapsed="false">
      <c r="A25" s="14" t="s">
        <v>7</v>
      </c>
      <c r="B25" s="14" t="s">
        <v>26</v>
      </c>
      <c r="C25" s="14" t="s">
        <v>27</v>
      </c>
      <c r="D25" s="14" t="s">
        <v>28</v>
      </c>
    </row>
    <row r="26" customFormat="false" ht="15" hidden="false" customHeight="true" outlineLevel="0" collapsed="false">
      <c r="A26" s="15" t="s">
        <v>29</v>
      </c>
      <c r="B26" s="15" t="s">
        <v>30</v>
      </c>
      <c r="C26" s="15" t="s">
        <v>31</v>
      </c>
      <c r="D26" s="15" t="s">
        <v>32</v>
      </c>
    </row>
    <row r="27" customFormat="false" ht="15" hidden="false" customHeight="true" outlineLevel="0" collapsed="false">
      <c r="A27" s="15" t="s">
        <v>33</v>
      </c>
      <c r="B27" s="15" t="s">
        <v>34</v>
      </c>
      <c r="C27" s="15" t="s">
        <v>35</v>
      </c>
      <c r="D27" s="15" t="s">
        <v>36</v>
      </c>
    </row>
    <row r="28" customFormat="false" ht="15" hidden="false" customHeight="true" outlineLevel="0" collapsed="false">
      <c r="A28" s="15" t="s">
        <v>37</v>
      </c>
      <c r="B28" s="15" t="s">
        <v>38</v>
      </c>
      <c r="C28" s="15" t="s">
        <v>39</v>
      </c>
      <c r="D28" s="15" t="s">
        <v>40</v>
      </c>
    </row>
    <row r="30" customFormat="false" ht="15" hidden="false" customHeight="true" outlineLevel="0" collapsed="false">
      <c r="A30" s="16" t="s">
        <v>41</v>
      </c>
      <c r="C30" s="17" t="s">
        <v>42</v>
      </c>
    </row>
    <row r="31" customFormat="false" ht="15" hidden="false" customHeight="true" outlineLevel="0" collapsed="false">
      <c r="A31" s="1" t="s">
        <v>43</v>
      </c>
      <c r="C31" s="18" t="s">
        <v>44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5"/>
    <col collapsed="false" customWidth="true" hidden="false" outlineLevel="0" max="5" min="3" style="1" width="14"/>
    <col collapsed="false" customWidth="true" hidden="false" outlineLevel="0" max="6" min="6" style="1" width="15"/>
  </cols>
  <sheetData>
    <row r="1" customFormat="false" ht="19.5" hidden="false" customHeight="true" outlineLevel="0" collapsed="false">
      <c r="A1" s="19" t="s">
        <v>45</v>
      </c>
    </row>
    <row r="3" customFormat="false" ht="15" hidden="false" customHeight="true" outlineLevel="0" collapsed="false">
      <c r="A3" s="1" t="s">
        <v>46</v>
      </c>
      <c r="C3" s="6" t="s">
        <v>47</v>
      </c>
    </row>
    <row r="5" customFormat="false" ht="15" hidden="false" customHeight="true" outlineLevel="0" collapsed="false">
      <c r="A5" s="20" t="s">
        <v>48</v>
      </c>
      <c r="B5" s="20" t="s">
        <v>49</v>
      </c>
      <c r="C5" s="20" t="s">
        <v>50</v>
      </c>
      <c r="D5" s="20" t="s">
        <v>51</v>
      </c>
      <c r="E5" s="20" t="s">
        <v>52</v>
      </c>
      <c r="F5" s="20" t="s">
        <v>53</v>
      </c>
    </row>
    <row r="6" customFormat="false" ht="15" hidden="false" customHeight="true" outlineLevel="0" collapsed="false">
      <c r="A6" s="15" t="s">
        <v>54</v>
      </c>
      <c r="B6" s="21" t="n">
        <v>0</v>
      </c>
      <c r="C6" s="22" t="n">
        <v>0</v>
      </c>
      <c r="D6" s="23" t="n">
        <f aca="false">IF(C6&gt;0,B6/30*C6,0)</f>
        <v>0</v>
      </c>
      <c r="E6" s="21" t="n">
        <v>0</v>
      </c>
      <c r="F6" s="23" t="n">
        <f aca="false">B6-D6+E6</f>
        <v>0</v>
      </c>
    </row>
    <row r="7" customFormat="false" ht="15" hidden="false" customHeight="true" outlineLevel="0" collapsed="false">
      <c r="A7" s="15" t="s">
        <v>55</v>
      </c>
      <c r="B7" s="21" t="n">
        <v>0</v>
      </c>
      <c r="C7" s="22" t="n">
        <v>0</v>
      </c>
      <c r="D7" s="23" t="n">
        <f aca="false">IF(C7&gt;0,B7/30*C7,0)</f>
        <v>0</v>
      </c>
      <c r="E7" s="21" t="n">
        <v>0</v>
      </c>
      <c r="F7" s="23" t="n">
        <f aca="false">B7-D7+E7</f>
        <v>0</v>
      </c>
    </row>
    <row r="8" customFormat="false" ht="15" hidden="false" customHeight="true" outlineLevel="0" collapsed="false">
      <c r="A8" s="15" t="s">
        <v>56</v>
      </c>
      <c r="B8" s="21" t="n">
        <v>0</v>
      </c>
      <c r="C8" s="22" t="n">
        <v>0</v>
      </c>
      <c r="D8" s="23" t="n">
        <f aca="false">IF(C8&gt;0,B8/30*C8,0)</f>
        <v>0</v>
      </c>
      <c r="E8" s="21" t="n">
        <v>0</v>
      </c>
      <c r="F8" s="23" t="n">
        <f aca="false">B8-D8+E8</f>
        <v>0</v>
      </c>
    </row>
    <row r="9" customFormat="false" ht="15" hidden="false" customHeight="true" outlineLevel="0" collapsed="false">
      <c r="A9" s="15" t="s">
        <v>57</v>
      </c>
      <c r="B9" s="21" t="n">
        <v>0</v>
      </c>
      <c r="C9" s="22" t="n">
        <v>0</v>
      </c>
      <c r="D9" s="23" t="n">
        <f aca="false">IF(C9&gt;0,B9/30*C9,0)</f>
        <v>0</v>
      </c>
      <c r="E9" s="21" t="n">
        <v>0</v>
      </c>
      <c r="F9" s="23" t="n">
        <f aca="false">B9-D9+E9</f>
        <v>0</v>
      </c>
    </row>
    <row r="10" customFormat="false" ht="15" hidden="false" customHeight="true" outlineLevel="0" collapsed="false">
      <c r="A10" s="15" t="s">
        <v>58</v>
      </c>
      <c r="B10" s="21" t="n">
        <v>0</v>
      </c>
      <c r="C10" s="22" t="n">
        <v>0</v>
      </c>
      <c r="D10" s="23" t="n">
        <f aca="false">IF(C10&gt;0,B10/30*C10,0)</f>
        <v>0</v>
      </c>
      <c r="E10" s="21" t="n">
        <v>0</v>
      </c>
      <c r="F10" s="23" t="n">
        <f aca="false">B10-D10+E10</f>
        <v>0</v>
      </c>
    </row>
    <row r="11" customFormat="false" ht="15" hidden="false" customHeight="true" outlineLevel="0" collapsed="false">
      <c r="A11" s="15" t="s">
        <v>59</v>
      </c>
      <c r="B11" s="21" t="n">
        <v>0</v>
      </c>
      <c r="C11" s="22" t="n">
        <v>0</v>
      </c>
      <c r="D11" s="23" t="n">
        <f aca="false">IF(C11&gt;0,B11/30*C11,0)</f>
        <v>0</v>
      </c>
      <c r="E11" s="21" t="n">
        <v>0</v>
      </c>
      <c r="F11" s="23" t="n">
        <f aca="false">B11-D11+E11</f>
        <v>0</v>
      </c>
    </row>
    <row r="12" customFormat="false" ht="15" hidden="false" customHeight="true" outlineLevel="0" collapsed="false">
      <c r="A12" s="15" t="s">
        <v>60</v>
      </c>
      <c r="B12" s="21" t="n">
        <v>0</v>
      </c>
      <c r="C12" s="22" t="n">
        <v>0</v>
      </c>
      <c r="D12" s="23" t="n">
        <f aca="false">IF(C12&gt;0,B12/30*C12,0)</f>
        <v>0</v>
      </c>
      <c r="E12" s="21" t="n">
        <v>0</v>
      </c>
      <c r="F12" s="23" t="n">
        <f aca="false">B12-D12+E12</f>
        <v>0</v>
      </c>
    </row>
    <row r="13" customFormat="false" ht="15" hidden="false" customHeight="true" outlineLevel="0" collapsed="false">
      <c r="A13" s="15" t="s">
        <v>61</v>
      </c>
      <c r="B13" s="21" t="n">
        <v>0</v>
      </c>
      <c r="C13" s="22" t="n">
        <v>0</v>
      </c>
      <c r="D13" s="23" t="n">
        <f aca="false">IF(C13&gt;0,B13/30*C13,0)</f>
        <v>0</v>
      </c>
      <c r="E13" s="21" t="n">
        <v>0</v>
      </c>
      <c r="F13" s="23" t="n">
        <f aca="false">B13-D13+E13</f>
        <v>0</v>
      </c>
    </row>
    <row r="14" customFormat="false" ht="15" hidden="false" customHeight="true" outlineLevel="0" collapsed="false">
      <c r="A14" s="15" t="s">
        <v>62</v>
      </c>
      <c r="B14" s="21" t="n">
        <v>0</v>
      </c>
      <c r="C14" s="22" t="n">
        <v>0</v>
      </c>
      <c r="D14" s="23" t="n">
        <f aca="false">IF(C14&gt;0,B14/30*C14,0)</f>
        <v>0</v>
      </c>
      <c r="E14" s="21" t="n">
        <v>0</v>
      </c>
      <c r="F14" s="23" t="n">
        <f aca="false">B14-D14+E14</f>
        <v>0</v>
      </c>
    </row>
    <row r="15" customFormat="false" ht="15" hidden="false" customHeight="true" outlineLevel="0" collapsed="false">
      <c r="A15" s="15" t="s">
        <v>63</v>
      </c>
      <c r="B15" s="21" t="n">
        <v>0</v>
      </c>
      <c r="C15" s="22" t="n">
        <v>0</v>
      </c>
      <c r="D15" s="23" t="n">
        <f aca="false">IF(C15&gt;0,B15/30*C15,0)</f>
        <v>0</v>
      </c>
      <c r="E15" s="21" t="n">
        <v>0</v>
      </c>
      <c r="F15" s="23" t="n">
        <f aca="false">B15-D15+E15</f>
        <v>0</v>
      </c>
    </row>
    <row r="16" customFormat="false" ht="15" hidden="false" customHeight="true" outlineLevel="0" collapsed="false">
      <c r="A16" s="15" t="s">
        <v>64</v>
      </c>
      <c r="B16" s="21" t="n">
        <v>0</v>
      </c>
      <c r="C16" s="22" t="n">
        <v>0</v>
      </c>
      <c r="D16" s="23" t="n">
        <f aca="false">IF(C16&gt;0,B16/30*C16,0)</f>
        <v>0</v>
      </c>
      <c r="E16" s="21" t="n">
        <v>0</v>
      </c>
      <c r="F16" s="23" t="n">
        <f aca="false">B16-D16+E16</f>
        <v>0</v>
      </c>
    </row>
    <row r="17" customFormat="false" ht="15" hidden="false" customHeight="true" outlineLevel="0" collapsed="false">
      <c r="A17" s="15" t="s">
        <v>65</v>
      </c>
      <c r="B17" s="21" t="n">
        <v>0</v>
      </c>
      <c r="C17" s="22" t="n">
        <v>0</v>
      </c>
      <c r="D17" s="23" t="n">
        <f aca="false">IF(C17&gt;0,B17/30*C17,0)</f>
        <v>0</v>
      </c>
      <c r="E17" s="21" t="n">
        <v>0</v>
      </c>
      <c r="F17" s="23" t="n">
        <f aca="false">B17-D17+E17</f>
        <v>0</v>
      </c>
    </row>
    <row r="18" customFormat="false" ht="15" hidden="false" customHeight="true" outlineLevel="0" collapsed="false">
      <c r="A18" s="24" t="s">
        <v>66</v>
      </c>
      <c r="B18" s="25" t="n">
        <f aca="false">SUM(B6:B17)</f>
        <v>0</v>
      </c>
      <c r="C18" s="25" t="n">
        <f aca="false">SUM(C6:C17)</f>
        <v>0</v>
      </c>
      <c r="D18" s="25" t="n">
        <f aca="false">SUM(D6:D17)</f>
        <v>0</v>
      </c>
      <c r="E18" s="25" t="n">
        <f aca="false">SUM(E6:E17)</f>
        <v>0</v>
      </c>
      <c r="F18" s="25" t="n">
        <f aca="false">SUM(F6:F17)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0"/>
    <col collapsed="false" customWidth="true" hidden="false" outlineLevel="0" max="14" min="3" style="1" width="10"/>
    <col collapsed="false" customWidth="true" hidden="false" outlineLevel="0" max="15" min="15" style="1" width="12"/>
  </cols>
  <sheetData>
    <row r="1" customFormat="false" ht="19.5" hidden="false" customHeight="true" outlineLevel="0" collapsed="false">
      <c r="A1" s="19" t="s">
        <v>67</v>
      </c>
    </row>
    <row r="3" customFormat="false" ht="15" hidden="false" customHeight="true" outlineLevel="0" collapsed="false">
      <c r="A3" s="1" t="s">
        <v>3</v>
      </c>
      <c r="B3" s="26" t="n">
        <f aca="false">Dashboard!C6</f>
        <v>2025</v>
      </c>
    </row>
    <row r="5" customFormat="false" ht="15" hidden="false" customHeight="true" outlineLevel="0" collapsed="false">
      <c r="A5" s="20" t="s">
        <v>68</v>
      </c>
      <c r="B5" s="20" t="s">
        <v>69</v>
      </c>
      <c r="C5" s="20" t="s">
        <v>70</v>
      </c>
      <c r="D5" s="20" t="s">
        <v>71</v>
      </c>
      <c r="E5" s="20" t="s">
        <v>72</v>
      </c>
      <c r="F5" s="20" t="s">
        <v>73</v>
      </c>
      <c r="G5" s="20" t="s">
        <v>58</v>
      </c>
      <c r="H5" s="20" t="s">
        <v>74</v>
      </c>
      <c r="I5" s="20" t="s">
        <v>75</v>
      </c>
      <c r="J5" s="20" t="s">
        <v>76</v>
      </c>
      <c r="K5" s="20" t="s">
        <v>77</v>
      </c>
      <c r="L5" s="20" t="s">
        <v>78</v>
      </c>
      <c r="M5" s="20" t="s">
        <v>79</v>
      </c>
      <c r="N5" s="20" t="s">
        <v>80</v>
      </c>
      <c r="O5" s="20" t="s">
        <v>66</v>
      </c>
    </row>
    <row r="6" customFormat="false" ht="15" hidden="false" customHeight="true" outlineLevel="0" collapsed="false">
      <c r="A6" s="15" t="s">
        <v>81</v>
      </c>
      <c r="B6" s="15" t="s">
        <v>82</v>
      </c>
      <c r="C6" s="27" t="n">
        <v>0</v>
      </c>
      <c r="D6" s="27" t="n">
        <v>0</v>
      </c>
      <c r="E6" s="27" t="n">
        <v>0</v>
      </c>
      <c r="F6" s="27" t="n">
        <v>0</v>
      </c>
      <c r="G6" s="27" t="n">
        <v>0</v>
      </c>
      <c r="H6" s="27" t="n">
        <v>0</v>
      </c>
      <c r="I6" s="27" t="n">
        <v>0</v>
      </c>
      <c r="J6" s="27" t="n">
        <v>0</v>
      </c>
      <c r="K6" s="27" t="n">
        <v>0</v>
      </c>
      <c r="L6" s="27" t="n">
        <v>0</v>
      </c>
      <c r="M6" s="27" t="n">
        <v>0</v>
      </c>
      <c r="N6" s="27" t="n">
        <v>0</v>
      </c>
      <c r="O6" s="25" t="n">
        <f aca="false">SUM(C6:N6)</f>
        <v>0</v>
      </c>
    </row>
    <row r="7" customFormat="false" ht="15" hidden="false" customHeight="true" outlineLevel="0" collapsed="false">
      <c r="A7" s="15" t="s">
        <v>83</v>
      </c>
      <c r="B7" s="15" t="s">
        <v>84</v>
      </c>
      <c r="C7" s="27" t="n">
        <v>0</v>
      </c>
      <c r="D7" s="27" t="n">
        <v>0</v>
      </c>
      <c r="E7" s="27" t="n">
        <v>0</v>
      </c>
      <c r="F7" s="27" t="n">
        <v>0</v>
      </c>
      <c r="G7" s="27" t="n">
        <v>0</v>
      </c>
      <c r="H7" s="27" t="n">
        <v>0</v>
      </c>
      <c r="I7" s="27" t="n">
        <v>0</v>
      </c>
      <c r="J7" s="27" t="n">
        <v>0</v>
      </c>
      <c r="K7" s="27" t="n">
        <v>0</v>
      </c>
      <c r="L7" s="27" t="n">
        <v>0</v>
      </c>
      <c r="M7" s="27" t="n">
        <v>0</v>
      </c>
      <c r="N7" s="27" t="n">
        <v>0</v>
      </c>
      <c r="O7" s="25" t="n">
        <f aca="false">SUM(C7:N7)</f>
        <v>0</v>
      </c>
    </row>
    <row r="8" customFormat="false" ht="15" hidden="false" customHeight="true" outlineLevel="0" collapsed="false">
      <c r="A8" s="15" t="s">
        <v>85</v>
      </c>
      <c r="B8" s="15" t="s">
        <v>86</v>
      </c>
      <c r="C8" s="27" t="n">
        <v>0</v>
      </c>
      <c r="D8" s="27" t="n">
        <v>0</v>
      </c>
      <c r="E8" s="27" t="n">
        <v>0</v>
      </c>
      <c r="F8" s="27" t="n">
        <v>0</v>
      </c>
      <c r="G8" s="27" t="n">
        <v>0</v>
      </c>
      <c r="H8" s="27" t="n">
        <v>0</v>
      </c>
      <c r="I8" s="27" t="n">
        <v>0</v>
      </c>
      <c r="J8" s="27" t="n">
        <v>0</v>
      </c>
      <c r="K8" s="27" t="n">
        <v>0</v>
      </c>
      <c r="L8" s="27" t="n">
        <v>0</v>
      </c>
      <c r="M8" s="27" t="n">
        <v>0</v>
      </c>
      <c r="N8" s="27" t="n">
        <v>0</v>
      </c>
      <c r="O8" s="25" t="n">
        <f aca="false">SUM(C8:N8)</f>
        <v>0</v>
      </c>
    </row>
    <row r="9" customFormat="false" ht="15" hidden="false" customHeight="true" outlineLevel="0" collapsed="false">
      <c r="A9" s="15" t="s">
        <v>87</v>
      </c>
      <c r="B9" s="15" t="s">
        <v>88</v>
      </c>
      <c r="C9" s="27" t="n">
        <v>0</v>
      </c>
      <c r="D9" s="27" t="n">
        <v>0</v>
      </c>
      <c r="E9" s="27" t="n">
        <v>0</v>
      </c>
      <c r="F9" s="27" t="n">
        <v>0</v>
      </c>
      <c r="G9" s="27" t="n">
        <v>0</v>
      </c>
      <c r="H9" s="27" t="n">
        <v>0</v>
      </c>
      <c r="I9" s="27" t="n">
        <v>0</v>
      </c>
      <c r="J9" s="27" t="n">
        <v>0</v>
      </c>
      <c r="K9" s="27" t="n">
        <v>0</v>
      </c>
      <c r="L9" s="27" t="n">
        <v>0</v>
      </c>
      <c r="M9" s="27" t="n">
        <v>0</v>
      </c>
      <c r="N9" s="27" t="n">
        <v>0</v>
      </c>
      <c r="O9" s="25" t="n">
        <f aca="false">SUM(C9:N9)</f>
        <v>0</v>
      </c>
    </row>
    <row r="10" customFormat="false" ht="15" hidden="false" customHeight="true" outlineLevel="0" collapsed="false">
      <c r="A10" s="15" t="s">
        <v>89</v>
      </c>
      <c r="B10" s="15" t="s">
        <v>90</v>
      </c>
      <c r="C10" s="27" t="n">
        <v>0</v>
      </c>
      <c r="D10" s="27" t="n">
        <v>0</v>
      </c>
      <c r="E10" s="27" t="n">
        <v>0</v>
      </c>
      <c r="F10" s="27" t="n">
        <v>0</v>
      </c>
      <c r="G10" s="27" t="n">
        <v>0</v>
      </c>
      <c r="H10" s="27" t="n">
        <v>0</v>
      </c>
      <c r="I10" s="27" t="n">
        <v>0</v>
      </c>
      <c r="J10" s="27" t="n">
        <v>0</v>
      </c>
      <c r="K10" s="27" t="n">
        <v>0</v>
      </c>
      <c r="L10" s="27" t="n">
        <v>0</v>
      </c>
      <c r="M10" s="27" t="n">
        <v>0</v>
      </c>
      <c r="N10" s="27" t="n">
        <v>0</v>
      </c>
      <c r="O10" s="25" t="n">
        <f aca="false">SUM(C10:N10)</f>
        <v>0</v>
      </c>
    </row>
    <row r="11" customFormat="false" ht="15" hidden="false" customHeight="true" outlineLevel="0" collapsed="false">
      <c r="A11" s="15" t="s">
        <v>91</v>
      </c>
      <c r="B11" s="15" t="s">
        <v>92</v>
      </c>
      <c r="C11" s="27" t="n">
        <v>0</v>
      </c>
      <c r="D11" s="27" t="n">
        <v>0</v>
      </c>
      <c r="E11" s="27" t="n">
        <v>0</v>
      </c>
      <c r="F11" s="27" t="n">
        <v>0</v>
      </c>
      <c r="G11" s="27" t="n">
        <v>0</v>
      </c>
      <c r="H11" s="27" t="n">
        <v>0</v>
      </c>
      <c r="I11" s="27" t="n">
        <v>0</v>
      </c>
      <c r="J11" s="27" t="n">
        <v>0</v>
      </c>
      <c r="K11" s="27" t="n">
        <v>0</v>
      </c>
      <c r="L11" s="27" t="n">
        <v>0</v>
      </c>
      <c r="M11" s="27" t="n">
        <v>0</v>
      </c>
      <c r="N11" s="27" t="n">
        <v>0</v>
      </c>
      <c r="O11" s="25" t="n">
        <f aca="false">SUM(C11:N11)</f>
        <v>0</v>
      </c>
    </row>
    <row r="12" customFormat="false" ht="15" hidden="false" customHeight="true" outlineLevel="0" collapsed="false">
      <c r="A12" s="15" t="s">
        <v>93</v>
      </c>
      <c r="B12" s="15" t="s">
        <v>94</v>
      </c>
      <c r="C12" s="27" t="n">
        <v>0</v>
      </c>
      <c r="D12" s="27" t="n">
        <v>0</v>
      </c>
      <c r="E12" s="27" t="n">
        <v>0</v>
      </c>
      <c r="F12" s="27" t="n">
        <v>0</v>
      </c>
      <c r="G12" s="27" t="n">
        <v>0</v>
      </c>
      <c r="H12" s="27" t="n">
        <v>0</v>
      </c>
      <c r="I12" s="27" t="n">
        <v>0</v>
      </c>
      <c r="J12" s="27" t="n">
        <v>0</v>
      </c>
      <c r="K12" s="27" t="n">
        <v>0</v>
      </c>
      <c r="L12" s="27" t="n">
        <v>0</v>
      </c>
      <c r="M12" s="27" t="n">
        <v>0</v>
      </c>
      <c r="N12" s="27" t="n">
        <v>0</v>
      </c>
      <c r="O12" s="25" t="n">
        <f aca="false">SUM(C12:N12)</f>
        <v>0</v>
      </c>
    </row>
    <row r="13" customFormat="false" ht="15" hidden="false" customHeight="true" outlineLevel="0" collapsed="false">
      <c r="A13" s="15" t="s">
        <v>95</v>
      </c>
      <c r="B13" s="15" t="s">
        <v>96</v>
      </c>
      <c r="C13" s="27" t="n">
        <v>0</v>
      </c>
      <c r="D13" s="27" t="n">
        <v>0</v>
      </c>
      <c r="E13" s="27" t="n">
        <v>0</v>
      </c>
      <c r="F13" s="27" t="n">
        <v>0</v>
      </c>
      <c r="G13" s="27" t="n">
        <v>0</v>
      </c>
      <c r="H13" s="27" t="n">
        <v>0</v>
      </c>
      <c r="I13" s="27" t="n">
        <v>0</v>
      </c>
      <c r="J13" s="27" t="n">
        <v>0</v>
      </c>
      <c r="K13" s="27" t="n">
        <v>0</v>
      </c>
      <c r="L13" s="27" t="n">
        <v>0</v>
      </c>
      <c r="M13" s="27" t="n">
        <v>0</v>
      </c>
      <c r="N13" s="27" t="n">
        <v>0</v>
      </c>
      <c r="O13" s="25" t="n">
        <f aca="false">SUM(C13:N13)</f>
        <v>0</v>
      </c>
    </row>
    <row r="14" customFormat="false" ht="15" hidden="false" customHeight="true" outlineLevel="0" collapsed="false">
      <c r="A14" s="15" t="s">
        <v>97</v>
      </c>
      <c r="B14" s="15" t="s">
        <v>98</v>
      </c>
      <c r="C14" s="27" t="n">
        <v>0</v>
      </c>
      <c r="D14" s="27" t="n">
        <v>0</v>
      </c>
      <c r="E14" s="27" t="n">
        <v>0</v>
      </c>
      <c r="F14" s="27" t="n">
        <v>0</v>
      </c>
      <c r="G14" s="27" t="n">
        <v>0</v>
      </c>
      <c r="H14" s="27" t="n">
        <v>0</v>
      </c>
      <c r="I14" s="27" t="n">
        <v>0</v>
      </c>
      <c r="J14" s="27" t="n">
        <v>0</v>
      </c>
      <c r="K14" s="27" t="n">
        <v>0</v>
      </c>
      <c r="L14" s="27" t="n">
        <v>0</v>
      </c>
      <c r="M14" s="27" t="n">
        <v>0</v>
      </c>
      <c r="N14" s="27" t="n">
        <v>0</v>
      </c>
      <c r="O14" s="25" t="n">
        <f aca="false">SUM(C14:N14)</f>
        <v>0</v>
      </c>
    </row>
    <row r="15" customFormat="false" ht="15" hidden="false" customHeight="true" outlineLevel="0" collapsed="false">
      <c r="A15" s="15" t="s">
        <v>99</v>
      </c>
      <c r="B15" s="15" t="s">
        <v>100</v>
      </c>
      <c r="C15" s="27" t="n">
        <v>0</v>
      </c>
      <c r="D15" s="27" t="n">
        <v>0</v>
      </c>
      <c r="E15" s="27" t="n">
        <v>0</v>
      </c>
      <c r="F15" s="27" t="n">
        <v>0</v>
      </c>
      <c r="G15" s="27" t="n">
        <v>0</v>
      </c>
      <c r="H15" s="27" t="n">
        <v>0</v>
      </c>
      <c r="I15" s="27" t="n">
        <v>0</v>
      </c>
      <c r="J15" s="27" t="n">
        <v>0</v>
      </c>
      <c r="K15" s="27" t="n">
        <v>0</v>
      </c>
      <c r="L15" s="27" t="n">
        <v>0</v>
      </c>
      <c r="M15" s="27" t="n">
        <v>0</v>
      </c>
      <c r="N15" s="27" t="n">
        <v>0</v>
      </c>
      <c r="O15" s="25" t="n">
        <f aca="false">SUM(C15:N15)</f>
        <v>0</v>
      </c>
    </row>
    <row r="16" customFormat="false" ht="15" hidden="false" customHeight="true" outlineLevel="0" collapsed="false">
      <c r="A16" s="15" t="s">
        <v>101</v>
      </c>
      <c r="B16" s="15" t="s">
        <v>102</v>
      </c>
      <c r="C16" s="27" t="n">
        <v>0</v>
      </c>
      <c r="D16" s="27" t="n">
        <v>0</v>
      </c>
      <c r="E16" s="27" t="n">
        <v>0</v>
      </c>
      <c r="F16" s="27" t="n">
        <v>0</v>
      </c>
      <c r="G16" s="27" t="n">
        <v>0</v>
      </c>
      <c r="H16" s="27" t="n">
        <v>0</v>
      </c>
      <c r="I16" s="27" t="n">
        <v>0</v>
      </c>
      <c r="J16" s="27" t="n">
        <v>0</v>
      </c>
      <c r="K16" s="27" t="n">
        <v>0</v>
      </c>
      <c r="L16" s="27" t="n">
        <v>0</v>
      </c>
      <c r="M16" s="27" t="n">
        <v>0</v>
      </c>
      <c r="N16" s="27" t="n">
        <v>0</v>
      </c>
      <c r="O16" s="25" t="n">
        <f aca="false">SUM(C16:N16)</f>
        <v>0</v>
      </c>
    </row>
    <row r="17" customFormat="false" ht="15" hidden="false" customHeight="true" outlineLevel="0" collapsed="false">
      <c r="A17" s="15" t="s">
        <v>103</v>
      </c>
      <c r="B17" s="15" t="s">
        <v>104</v>
      </c>
      <c r="C17" s="27" t="n">
        <v>0</v>
      </c>
      <c r="D17" s="27" t="n">
        <v>0</v>
      </c>
      <c r="E17" s="27" t="n">
        <v>0</v>
      </c>
      <c r="F17" s="27" t="n">
        <v>0</v>
      </c>
      <c r="G17" s="27" t="n">
        <v>0</v>
      </c>
      <c r="H17" s="27" t="n">
        <v>0</v>
      </c>
      <c r="I17" s="27" t="n">
        <v>0</v>
      </c>
      <c r="J17" s="27" t="n">
        <v>0</v>
      </c>
      <c r="K17" s="27" t="n">
        <v>0</v>
      </c>
      <c r="L17" s="27" t="n">
        <v>0</v>
      </c>
      <c r="M17" s="27" t="n">
        <v>0</v>
      </c>
      <c r="N17" s="27" t="n">
        <v>0</v>
      </c>
      <c r="O17" s="25" t="n">
        <f aca="false">SUM(C17:N17)</f>
        <v>0</v>
      </c>
    </row>
    <row r="18" customFormat="false" ht="15" hidden="false" customHeight="true" outlineLevel="0" collapsed="false">
      <c r="A18" s="15" t="s">
        <v>105</v>
      </c>
      <c r="B18" s="15" t="s">
        <v>106</v>
      </c>
      <c r="C18" s="27" t="n">
        <v>0</v>
      </c>
      <c r="D18" s="27" t="n">
        <v>0</v>
      </c>
      <c r="E18" s="27" t="n">
        <v>0</v>
      </c>
      <c r="F18" s="27" t="n">
        <v>0</v>
      </c>
      <c r="G18" s="27" t="n">
        <v>0</v>
      </c>
      <c r="H18" s="27" t="n">
        <v>0</v>
      </c>
      <c r="I18" s="27" t="n">
        <v>0</v>
      </c>
      <c r="J18" s="27" t="n">
        <v>0</v>
      </c>
      <c r="K18" s="27" t="n">
        <v>0</v>
      </c>
      <c r="L18" s="27" t="n">
        <v>0</v>
      </c>
      <c r="M18" s="27" t="n">
        <v>0</v>
      </c>
      <c r="N18" s="27" t="n">
        <v>0</v>
      </c>
      <c r="O18" s="25" t="n">
        <f aca="false">SUM(C18:N18)</f>
        <v>0</v>
      </c>
    </row>
    <row r="19" customFormat="false" ht="15" hidden="false" customHeight="true" outlineLevel="0" collapsed="false">
      <c r="A19" s="15" t="s">
        <v>107</v>
      </c>
      <c r="B19" s="15" t="s">
        <v>108</v>
      </c>
      <c r="C19" s="27" t="n">
        <v>0</v>
      </c>
      <c r="D19" s="27" t="n">
        <v>0</v>
      </c>
      <c r="E19" s="27" t="n">
        <v>0</v>
      </c>
      <c r="F19" s="27" t="n">
        <v>0</v>
      </c>
      <c r="G19" s="27" t="n">
        <v>0</v>
      </c>
      <c r="H19" s="27" t="n">
        <v>0</v>
      </c>
      <c r="I19" s="27" t="n">
        <v>0</v>
      </c>
      <c r="J19" s="27" t="n">
        <v>0</v>
      </c>
      <c r="K19" s="27" t="n">
        <v>0</v>
      </c>
      <c r="L19" s="27" t="n">
        <v>0</v>
      </c>
      <c r="M19" s="27" t="n">
        <v>0</v>
      </c>
      <c r="N19" s="27" t="n">
        <v>0</v>
      </c>
      <c r="O19" s="25" t="n">
        <f aca="false">SUM(C19:N19)</f>
        <v>0</v>
      </c>
    </row>
    <row r="20" customFormat="false" ht="15" hidden="false" customHeight="true" outlineLevel="0" collapsed="false">
      <c r="A20" s="15" t="s">
        <v>109</v>
      </c>
      <c r="B20" s="15" t="s">
        <v>110</v>
      </c>
      <c r="C20" s="27" t="n">
        <v>0</v>
      </c>
      <c r="D20" s="27" t="n">
        <v>0</v>
      </c>
      <c r="E20" s="27" t="n">
        <v>0</v>
      </c>
      <c r="F20" s="27" t="n">
        <v>0</v>
      </c>
      <c r="G20" s="27" t="n">
        <v>0</v>
      </c>
      <c r="H20" s="27" t="n">
        <v>0</v>
      </c>
      <c r="I20" s="27" t="n">
        <v>0</v>
      </c>
      <c r="J20" s="27" t="n">
        <v>0</v>
      </c>
      <c r="K20" s="27" t="n">
        <v>0</v>
      </c>
      <c r="L20" s="27" t="n">
        <v>0</v>
      </c>
      <c r="M20" s="27" t="n">
        <v>0</v>
      </c>
      <c r="N20" s="27" t="n">
        <v>0</v>
      </c>
      <c r="O20" s="25" t="n">
        <f aca="false">SUM(C20:N20)</f>
        <v>0</v>
      </c>
    </row>
    <row r="21" customFormat="false" ht="15" hidden="false" customHeight="true" outlineLevel="0" collapsed="false">
      <c r="A21" s="15"/>
      <c r="B21" s="24" t="s">
        <v>111</v>
      </c>
      <c r="C21" s="28" t="n">
        <f aca="false">SUM(C6:C20)</f>
        <v>0</v>
      </c>
      <c r="D21" s="28" t="n">
        <f aca="false">SUM(D6:D20)</f>
        <v>0</v>
      </c>
      <c r="E21" s="28" t="n">
        <f aca="false">SUM(E6:E20)</f>
        <v>0</v>
      </c>
      <c r="F21" s="28" t="n">
        <f aca="false">SUM(F6:F20)</f>
        <v>0</v>
      </c>
      <c r="G21" s="28" t="n">
        <f aca="false">SUM(G6:G20)</f>
        <v>0</v>
      </c>
      <c r="H21" s="28" t="n">
        <f aca="false">SUM(H6:H20)</f>
        <v>0</v>
      </c>
      <c r="I21" s="28" t="n">
        <f aca="false">SUM(I6:I20)</f>
        <v>0</v>
      </c>
      <c r="J21" s="28" t="n">
        <f aca="false">SUM(J6:J20)</f>
        <v>0</v>
      </c>
      <c r="K21" s="28" t="n">
        <f aca="false">SUM(K6:K20)</f>
        <v>0</v>
      </c>
      <c r="L21" s="28" t="n">
        <f aca="false">SUM(L6:L20)</f>
        <v>0</v>
      </c>
      <c r="M21" s="28" t="n">
        <f aca="false">SUM(M6:M20)</f>
        <v>0</v>
      </c>
      <c r="N21" s="28" t="n">
        <f aca="false">SUM(N6:N20)</f>
        <v>0</v>
      </c>
      <c r="O21" s="28" t="n">
        <f aca="false">SUM(O6:O20)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5"/>
    <col collapsed="false" customWidth="true" hidden="false" outlineLevel="0" max="3" min="3" style="1" width="25"/>
  </cols>
  <sheetData>
    <row r="1" customFormat="false" ht="19.5" hidden="false" customHeight="true" outlineLevel="0" collapsed="false">
      <c r="A1" s="19" t="s">
        <v>112</v>
      </c>
    </row>
    <row r="3" customFormat="false" ht="15" hidden="false" customHeight="true" outlineLevel="0" collapsed="false">
      <c r="A3" s="29" t="s">
        <v>113</v>
      </c>
    </row>
    <row r="5" customFormat="false" ht="15" hidden="false" customHeight="true" outlineLevel="0" collapsed="false">
      <c r="A5" s="30" t="s">
        <v>114</v>
      </c>
    </row>
    <row r="7" customFormat="false" ht="15" hidden="false" customHeight="true" outlineLevel="0" collapsed="false">
      <c r="A7" s="1" t="s">
        <v>115</v>
      </c>
      <c r="C7" s="9" t="n">
        <f aca="false">Income!F18</f>
        <v>0</v>
      </c>
    </row>
    <row r="9" customFormat="false" ht="15" hidden="false" customHeight="true" outlineLevel="0" collapsed="false">
      <c r="A9" s="1" t="s">
        <v>116</v>
      </c>
      <c r="C9" s="31" t="n">
        <v>0</v>
      </c>
    </row>
    <row r="11" customFormat="false" ht="15" hidden="false" customHeight="true" outlineLevel="0" collapsed="false">
      <c r="A11" s="1" t="s">
        <v>117</v>
      </c>
      <c r="C11" s="9" t="n">
        <f aca="false">Expenses!O21</f>
        <v>0</v>
      </c>
    </row>
    <row r="13" customFormat="false" ht="15" hidden="false" customHeight="true" outlineLevel="0" collapsed="false">
      <c r="A13" s="1" t="s">
        <v>118</v>
      </c>
      <c r="C13" s="32" t="n">
        <f aca="false">C7-C11</f>
        <v>0</v>
      </c>
    </row>
    <row r="15" customFormat="false" ht="19.5" hidden="false" customHeight="true" outlineLevel="0" collapsed="false">
      <c r="A15" s="4" t="s">
        <v>119</v>
      </c>
      <c r="C15" s="33" t="n">
        <f aca="false">C13+C9</f>
        <v>0</v>
      </c>
    </row>
    <row r="17" customFormat="false" ht="15" hidden="false" customHeight="true" outlineLevel="0" collapsed="false">
      <c r="A17" s="30" t="s">
        <v>120</v>
      </c>
    </row>
    <row r="19" customFormat="false" ht="15" hidden="false" customHeight="true" outlineLevel="0" collapsed="false">
      <c r="A19" s="1" t="s">
        <v>121</v>
      </c>
      <c r="C19" s="34" t="n">
        <v>15650</v>
      </c>
    </row>
    <row r="20" customFormat="false" ht="15" hidden="false" customHeight="true" outlineLevel="0" collapsed="false">
      <c r="A20" s="1" t="s">
        <v>122</v>
      </c>
      <c r="C20" s="34" t="n">
        <v>20121</v>
      </c>
    </row>
    <row r="22" customFormat="false" ht="15" hidden="false" customHeight="true" outlineLevel="0" collapsed="false">
      <c r="A22" s="1" t="s">
        <v>123</v>
      </c>
      <c r="C22" s="35" t="n">
        <f aca="false">C15-C19</f>
        <v>-15650</v>
      </c>
    </row>
    <row r="23" customFormat="false" ht="15" hidden="false" customHeight="true" outlineLevel="0" collapsed="false">
      <c r="A23" s="1" t="s">
        <v>124</v>
      </c>
      <c r="C23" s="35" t="n">
        <f aca="false">C20-C15</f>
        <v>20121</v>
      </c>
    </row>
    <row r="25" customFormat="false" ht="15" hidden="false" customHeight="true" outlineLevel="0" collapsed="false">
      <c r="A25" s="11" t="s">
        <v>125</v>
      </c>
    </row>
    <row r="27" customFormat="false" ht="15" hidden="false" customHeight="true" outlineLevel="0" collapsed="false">
      <c r="A27" s="1" t="s">
        <v>126</v>
      </c>
      <c r="C27" s="36" t="str">
        <f aca="false">IF(C15&lt;15650,"COVERAGE GAP - Increase MAGI by "&amp;TEXT(15650-C15,"$#,##0"),IF(C15&lt;=20121,"OPTIMAL - Enrolled in CSR 94%",IF(C15&lt;=23475,"OK - Still CSR 94%","WARNING - Above optimal range")))</f>
        <v>COVERAGE GAP - Increase MAGI by $15,650</v>
      </c>
    </row>
    <row r="29" customFormat="false" ht="15" hidden="false" customHeight="true" outlineLevel="0" collapsed="false">
      <c r="A29" s="1" t="s">
        <v>127</v>
      </c>
      <c r="C29" s="1" t="str">
        <f aca="false">IF(C15&lt;15650,"REDUCE deductions by "&amp;TEXT(15650-C15,"$#,##0"),IF(C15&gt;20121,"INCREASE deductions by "&amp;TEXT(C15-20121,"$#,##0"),"None - You are in the optimal range!"))</f>
        <v>REDUCE deductions by $15,650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5"/>
    <col collapsed="false" customWidth="true" hidden="false" outlineLevel="0" max="3" min="3" style="1" width="20"/>
  </cols>
  <sheetData>
    <row r="1" customFormat="false" ht="19.5" hidden="false" customHeight="true" outlineLevel="0" collapsed="false">
      <c r="A1" s="19" t="s">
        <v>128</v>
      </c>
    </row>
    <row r="3" customFormat="false" ht="15" hidden="false" customHeight="true" outlineLevel="0" collapsed="false">
      <c r="A3" s="29" t="s">
        <v>129</v>
      </c>
    </row>
    <row r="5" customFormat="false" ht="15" hidden="false" customHeight="true" outlineLevel="0" collapsed="false">
      <c r="A5" s="15" t="s">
        <v>130</v>
      </c>
      <c r="C5" s="22"/>
    </row>
    <row r="6" customFormat="false" ht="15" hidden="false" customHeight="true" outlineLevel="0" collapsed="false">
      <c r="A6" s="15" t="s">
        <v>131</v>
      </c>
      <c r="C6" s="22" t="s">
        <v>132</v>
      </c>
    </row>
    <row r="7" customFormat="false" ht="15" hidden="false" customHeight="true" outlineLevel="0" collapsed="false">
      <c r="A7" s="15" t="s">
        <v>133</v>
      </c>
      <c r="C7" s="22" t="s">
        <v>134</v>
      </c>
    </row>
    <row r="8" customFormat="false" ht="15" hidden="false" customHeight="true" outlineLevel="0" collapsed="false">
      <c r="A8" s="15" t="s">
        <v>135</v>
      </c>
      <c r="C8" s="22"/>
    </row>
    <row r="9" customFormat="false" ht="15" hidden="false" customHeight="true" outlineLevel="0" collapsed="false">
      <c r="A9" s="15" t="s">
        <v>136</v>
      </c>
      <c r="C9" s="22" t="s">
        <v>137</v>
      </c>
    </row>
    <row r="10" customFormat="false" ht="15" hidden="false" customHeight="true" outlineLevel="0" collapsed="false">
      <c r="A10" s="15" t="s">
        <v>138</v>
      </c>
      <c r="C10" s="22"/>
    </row>
    <row r="11" customFormat="false" ht="15" hidden="false" customHeight="true" outlineLevel="0" collapsed="false">
      <c r="A11" s="15" t="s">
        <v>139</v>
      </c>
      <c r="C11" s="37" t="n">
        <v>0</v>
      </c>
    </row>
    <row r="12" customFormat="false" ht="15" hidden="false" customHeight="true" outlineLevel="0" collapsed="false">
      <c r="A12" s="15" t="s">
        <v>140</v>
      </c>
      <c r="C12" s="38" t="n">
        <f aca="false">IF(C11&gt;0,C11*0.2,0)</f>
        <v>0</v>
      </c>
    </row>
    <row r="13" customFormat="false" ht="15" hidden="false" customHeight="true" outlineLevel="0" collapsed="false">
      <c r="A13" s="15" t="s">
        <v>141</v>
      </c>
      <c r="C13" s="39" t="n">
        <f aca="false">IF(C11&gt;0,C11-C12,0)</f>
        <v>0</v>
      </c>
    </row>
    <row r="14" customFormat="false" ht="15" hidden="false" customHeight="true" outlineLevel="0" collapsed="false">
      <c r="A14" s="15" t="s">
        <v>142</v>
      </c>
      <c r="C14" s="40" t="n">
        <v>27.5</v>
      </c>
    </row>
    <row r="15" customFormat="false" ht="15" hidden="false" customHeight="true" outlineLevel="0" collapsed="false">
      <c r="A15" s="15" t="s">
        <v>143</v>
      </c>
      <c r="C15" s="39" t="n">
        <f aca="false">IF(AND(C13&gt;0,C14&gt;0),C13/C14,0)</f>
        <v>0</v>
      </c>
    </row>
    <row r="17" customFormat="false" ht="15" hidden="false" customHeight="false" outlineLevel="0" collapsed="false">
      <c r="A17" s="41" t="s">
        <v>144</v>
      </c>
    </row>
    <row r="18" customFormat="false" ht="15" hidden="false" customHeight="true" outlineLevel="0" collapsed="false">
      <c r="A18" s="42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40"/>
  </cols>
  <sheetData>
    <row r="1" customFormat="false" ht="19.5" hidden="false" customHeight="true" outlineLevel="0" collapsed="false">
      <c r="A1" s="19" t="s">
        <v>145</v>
      </c>
    </row>
    <row r="3" customFormat="false" ht="15" hidden="false" customHeight="true" outlineLevel="0" collapsed="false">
      <c r="A3" s="1" t="s">
        <v>15</v>
      </c>
      <c r="B3" s="9" t="n">
        <f aca="false">MAGI!C15</f>
        <v>0</v>
      </c>
    </row>
    <row r="5" customFormat="false" ht="15" hidden="false" customHeight="true" outlineLevel="0" collapsed="false">
      <c r="A5" s="11" t="s">
        <v>146</v>
      </c>
    </row>
    <row r="7" customFormat="false" ht="15" hidden="false" customHeight="true" outlineLevel="0" collapsed="false">
      <c r="A7" s="36" t="s">
        <v>147</v>
      </c>
      <c r="B7" s="1" t="s">
        <v>148</v>
      </c>
    </row>
    <row r="8" customFormat="false" ht="15" hidden="false" customHeight="true" outlineLevel="0" collapsed="false">
      <c r="B8" s="42" t="s">
        <v>149</v>
      </c>
    </row>
    <row r="9" customFormat="false" ht="15" hidden="false" customHeight="true" outlineLevel="0" collapsed="false">
      <c r="A9" s="36" t="s">
        <v>150</v>
      </c>
      <c r="B9" s="1" t="s">
        <v>151</v>
      </c>
    </row>
    <row r="10" customFormat="false" ht="15" hidden="false" customHeight="true" outlineLevel="0" collapsed="false">
      <c r="B10" s="42" t="s">
        <v>152</v>
      </c>
    </row>
    <row r="11" customFormat="false" ht="15" hidden="false" customHeight="true" outlineLevel="0" collapsed="false">
      <c r="A11" s="36" t="s">
        <v>153</v>
      </c>
      <c r="B11" s="1" t="s">
        <v>154</v>
      </c>
    </row>
    <row r="12" customFormat="false" ht="15" hidden="false" customHeight="true" outlineLevel="0" collapsed="false">
      <c r="B12" s="42" t="s">
        <v>155</v>
      </c>
    </row>
    <row r="13" customFormat="false" ht="15" hidden="false" customHeight="true" outlineLevel="0" collapsed="false">
      <c r="A13" s="36" t="s">
        <v>156</v>
      </c>
      <c r="B13" s="1" t="s">
        <v>157</v>
      </c>
    </row>
    <row r="14" customFormat="false" ht="15" hidden="false" customHeight="true" outlineLevel="0" collapsed="false">
      <c r="B14" s="42" t="s">
        <v>158</v>
      </c>
    </row>
    <row r="17" customFormat="false" ht="15" hidden="false" customHeight="true" outlineLevel="0" collapsed="false">
      <c r="A17" s="11" t="s">
        <v>159</v>
      </c>
    </row>
    <row r="19" customFormat="false" ht="15" hidden="false" customHeight="true" outlineLevel="0" collapsed="false">
      <c r="A19" s="1" t="s">
        <v>160</v>
      </c>
      <c r="B19" s="17" t="s">
        <v>42</v>
      </c>
    </row>
    <row r="20" customFormat="false" ht="15" hidden="false" customHeight="true" outlineLevel="0" collapsed="false">
      <c r="A20" s="1" t="s">
        <v>161</v>
      </c>
      <c r="B20" s="1" t="s">
        <v>162</v>
      </c>
    </row>
    <row r="21" customFormat="false" ht="15" hidden="false" customHeight="true" outlineLevel="0" collapsed="false">
      <c r="A21" s="1" t="s">
        <v>163</v>
      </c>
      <c r="B21" s="1" t="s">
        <v>164</v>
      </c>
    </row>
    <row r="24" customFormat="false" ht="15" hidden="false" customHeight="true" outlineLevel="0" collapsed="false">
      <c r="A24" s="11" t="s">
        <v>165</v>
      </c>
    </row>
    <row r="26" customFormat="false" ht="15" hidden="false" customHeight="true" outlineLevel="0" collapsed="false">
      <c r="A26" s="1" t="s">
        <v>166</v>
      </c>
      <c r="B26" s="1" t="s">
        <v>167</v>
      </c>
    </row>
    <row r="27" customFormat="false" ht="15" hidden="false" customHeight="true" outlineLevel="0" collapsed="false">
      <c r="A27" s="1" t="s">
        <v>168</v>
      </c>
      <c r="B27" s="1" t="s">
        <v>169</v>
      </c>
    </row>
    <row r="28" customFormat="false" ht="15" hidden="false" customHeight="true" outlineLevel="0" collapsed="false">
      <c r="A28" s="1" t="s">
        <v>170</v>
      </c>
      <c r="B28" s="1" t="s">
        <v>171</v>
      </c>
    </row>
    <row r="29" customFormat="false" ht="15" hidden="false" customHeight="true" outlineLevel="0" collapsed="false">
      <c r="A29" s="1" t="s">
        <v>172</v>
      </c>
      <c r="B29" s="8" t="s">
        <v>173</v>
      </c>
    </row>
    <row r="30" customFormat="false" ht="15" hidden="false" customHeight="true" outlineLevel="0" collapsed="false">
      <c r="A30" s="1" t="s">
        <v>174</v>
      </c>
      <c r="B30" s="8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2025-12-07T18:54:34Z</dcterms:created>
  <dc:creator>openpyxl</dc:creator>
  <dc:description/>
  <dc:language>en-US</dc:language>
  <cp:lastModifiedBy/>
  <dcterms:modified xsi:type="dcterms:W3CDTF">2025-12-07T18:55:13Z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